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structions" sheetId="1" state="visible" r:id="rId3"/>
    <sheet name="Responses" sheetId="2" state="visible" r:id="rId4"/>
    <sheet name="Dashboard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<sst xmlns="http://schemas.openxmlformats.org/spreadsheetml/2006/main" count="107" uniqueCount="86">
  <si>
    <t xml:space="preserve">Board Remuneration Benchmarking Survey — Google Sheets Setup</t>
  </si>
  <si>
    <t xml:space="preserve">This workbook is the data store for the survey. Responses submitted from the survey form are appended</t>
  </si>
  <si>
    <t xml:space="preserve">automatically to the 'Responses' tab via a small Google Apps Script (Code.gs, provided separately).</t>
  </si>
  <si>
    <t xml:space="preserve">The 'Dashboard' tab updates itself with formulas as new rows arrive — no manual work required.</t>
  </si>
  <si>
    <t xml:space="preserve">SETUP STEPS</t>
  </si>
  <si>
    <t xml:space="preserve">1. Upload this file to Google Drive and open it with Google Sheets (File &gt; Open with &gt; Google Sheets),</t>
  </si>
  <si>
    <t xml:space="preserve">   or import it into a blank Google Sheet (File &gt; Import &gt; Upload &gt; Replace spreadsheet).</t>
  </si>
  <si>
    <t xml:space="preserve">2. In the Sheet, go to Extensions &gt; Apps Script.</t>
  </si>
  <si>
    <t xml:space="preserve">3. Delete any starter code and paste in the Code.gs script provided in the chat.</t>
  </si>
  <si>
    <t xml:space="preserve">4. Click Deploy &gt; New deployment &gt; type: Web app.</t>
  </si>
  <si>
    <t xml:space="preserve">5. Set 'Execute as' to Me, and 'Who has access' to Anyone.</t>
  </si>
  <si>
    <t xml:space="preserve">6. Click Deploy, authorize the permissions Google asks for, and copy the Web app URL.</t>
  </si>
  <si>
    <t xml:space="preserve">7. Paste that URL into the SCRIPT_URL constant near the top of the survey HTML file.</t>
  </si>
  <si>
    <t xml:space="preserve">8. Re-share the updated survey HTML file with your board members.</t>
  </si>
  <si>
    <t xml:space="preserve">EXPECTED ROW FORMAT (example — do not add this row manually, the script writes it)</t>
  </si>
  <si>
    <t xml:space="preserve">Timestamp</t>
  </si>
  <si>
    <t xml:space="preserve">Institution</t>
  </si>
  <si>
    <t xml:space="preserve">Respondent Name</t>
  </si>
  <si>
    <t xml:space="preserve">Email</t>
  </si>
  <si>
    <t xml:space="preserve">Q1 Role</t>
  </si>
  <si>
    <t xml:space="preserve">Q2 Years on Board</t>
  </si>
  <si>
    <t xml:space="preserve">Q3 Meetings/Year</t>
  </si>
  <si>
    <t xml:space="preserve">Q4 Components</t>
  </si>
  <si>
    <t xml:space="preserve">Q5 Sitting Allowance</t>
  </si>
  <si>
    <t xml:space="preserve">Q6 Retainer Fee</t>
  </si>
  <si>
    <t xml:space="preserve">Q7 Chair Premium</t>
  </si>
  <si>
    <t xml:space="preserve">Q8 Has Policy</t>
  </si>
  <si>
    <t xml:space="preserve">Q9 Review Frequency</t>
  </si>
  <si>
    <t xml:space="preserve">Q10 Market Rating</t>
  </si>
  <si>
    <t xml:space="preserve">Comment</t>
  </si>
  <si>
    <t xml:space="preserve">2026-08-12T09:14:00Z</t>
  </si>
  <si>
    <t xml:space="preserve">Amani Microfinance Ltd</t>
  </si>
  <si>
    <t xml:space="preserve">Jane Mwakalinga</t>
  </si>
  <si>
    <t xml:space="preserve">jane@example.co.tz</t>
  </si>
  <si>
    <t xml:space="preserve">Board Chairperson</t>
  </si>
  <si>
    <t xml:space="preserve">6-10 years</t>
  </si>
  <si>
    <t xml:space="preserve">5-6</t>
  </si>
  <si>
    <t xml:space="preserve">Annual Retainer Fee; Board Sitting Allowance</t>
  </si>
  <si>
    <t xml:space="preserve">TZS 500,001-750,000</t>
  </si>
  <si>
    <t xml:space="preserve">TZS 5-10 million</t>
  </si>
  <si>
    <t xml:space="preserve">26-50% higher</t>
  </si>
  <si>
    <t xml:space="preserve">Yes</t>
  </si>
  <si>
    <t xml:space="preserve">Annually</t>
  </si>
  <si>
    <t xml:space="preserve">Consider indexing retainers to inflation annually.</t>
  </si>
  <si>
    <t xml:space="preserve">Board Remuneration Benchmarking — Dashboard</t>
  </si>
  <si>
    <t xml:space="preserve">Updates automatically as new responses arrive in the Responses tab.</t>
  </si>
  <si>
    <t xml:space="preserve">Total responses</t>
  </si>
  <si>
    <t xml:space="preserve">% with formal remuneration policy (Q8)</t>
  </si>
  <si>
    <t xml:space="preserve">Average market-competitiveness rating (Q10, 1-5)</t>
  </si>
  <si>
    <t xml:space="preserve">Q1 — Board role</t>
  </si>
  <si>
    <t xml:space="preserve">Q4 — Remuneration components (multi-select)</t>
  </si>
  <si>
    <t xml:space="preserve">Annual Retainer Fee</t>
  </si>
  <si>
    <t xml:space="preserve">Vice Chairperson</t>
  </si>
  <si>
    <t xml:space="preserve">Board Sitting Allowance</t>
  </si>
  <si>
    <t xml:space="preserve">Independent Director</t>
  </si>
  <si>
    <t xml:space="preserve">Committee Sitting Allowance</t>
  </si>
  <si>
    <t xml:space="preserve">Non-Executive Director</t>
  </si>
  <si>
    <t xml:space="preserve">Transport Allowance</t>
  </si>
  <si>
    <t xml:space="preserve">Committee Chairperson</t>
  </si>
  <si>
    <t xml:space="preserve">Communication Allowance</t>
  </si>
  <si>
    <t xml:space="preserve">Chief Executive Officer (Ex Officio)</t>
  </si>
  <si>
    <t xml:space="preserve">Medical Benefits</t>
  </si>
  <si>
    <t xml:space="preserve">Q5 — Sitting allowance per meeting</t>
  </si>
  <si>
    <t xml:space="preserve">Q10 — Market rating distribution</t>
  </si>
  <si>
    <t xml:space="preserve">Less than TZS 300,000</t>
  </si>
  <si>
    <t xml:space="preserve">TZS 300,000-500,000</t>
  </si>
  <si>
    <t xml:space="preserve">TZS 750,001-1,000,000</t>
  </si>
  <si>
    <t xml:space="preserve">Above TZS 1,000,000</t>
  </si>
  <si>
    <t xml:space="preserve">Q6 — Annual retainer fee</t>
  </si>
  <si>
    <t xml:space="preserve">No annual retainer</t>
  </si>
  <si>
    <t xml:space="preserve">Less than TZS 3 million</t>
  </si>
  <si>
    <t xml:space="preserve">TZS 3-5 million</t>
  </si>
  <si>
    <t xml:space="preserve">Above TZS 10 million</t>
  </si>
  <si>
    <t xml:space="preserve">Q7 — Chairperson premium</t>
  </si>
  <si>
    <t xml:space="preserve">Same remuneration</t>
  </si>
  <si>
    <t xml:space="preserve">Up to 25% higher</t>
  </si>
  <si>
    <t xml:space="preserve">51-100% higher</t>
  </si>
  <si>
    <t xml:space="preserve">More than 100% higher</t>
  </si>
  <si>
    <t xml:space="preserve">Q8 — Formal remuneration policy</t>
  </si>
  <si>
    <t xml:space="preserve">No</t>
  </si>
  <si>
    <t xml:space="preserve">Under development</t>
  </si>
  <si>
    <t xml:space="preserve">Q9 — Review frequency</t>
  </si>
  <si>
    <t xml:space="preserve">Every 2 years</t>
  </si>
  <si>
    <t xml:space="preserve">Every 3 years</t>
  </si>
  <si>
    <t xml:space="preserve">Only when necessary</t>
  </si>
  <si>
    <t xml:space="preserve">Never reviewed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</si>
</sst>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General"/>
    <numFmt numFmtId="166" formatCode="0.0%"/>
    <numFmt numFmtId="167" formatCode="0.0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6233B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16233B"/>
      <name val="Arial"/>
      <family val="0"/>
      <charset val="1"/>
    </font>
    <font>
      <b val="true"/>
      <sz val="9"/>
      <color rgb="FF5B6472"/>
      <name val="Arial"/>
      <family val="0"/>
      <charset val="1"/>
    </font>
    <font>
      <i val="true"/>
      <sz val="9"/>
      <color rgb="FF5B6472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i val="true"/>
      <sz val="10"/>
      <color rgb="FF5B6472"/>
      <name val="Arial"/>
      <family val="0"/>
      <charset val="1"/>
    </font>
    <font>
      <b val="true"/>
      <sz val="14"/>
      <color rgb="FFC89B3C"/>
      <name val="Arial"/>
      <family val="0"/>
      <charset val="1"/>
    </font>
    <font>
      <sz val="10"/>
      <color rgb="FF16233B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6233B"/>
        <bgColor rgb="FF00336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D3C2"/>
      </left>
      <right style="thin">
        <color rgb="FFD9D3C2"/>
      </right>
      <top style="thin">
        <color rgb="FFD9D3C2"/>
      </top>
      <bottom style="thin">
        <color rgb="FFD9D3C2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D9D3C2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C89B3C"/>
      <rgbColor rgb="FFFF6600"/>
      <rgbColor rgb="FF5B6472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6233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21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0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/>
    </row>
    <row r="3" customFormat="false" ht="15" hidden="false" customHeight="false" outlineLevel="0" collapsed="false">
      <c r="A3" s="2" t="s">
        <v>1</v>
      </c>
    </row>
    <row r="4" customFormat="false" ht="15" hidden="false" customHeight="false" outlineLevel="0" collapsed="false">
      <c r="A4" s="2" t="s">
        <v>2</v>
      </c>
    </row>
    <row r="5" customFormat="false" ht="15" hidden="false" customHeight="false" outlineLevel="0" collapsed="false">
      <c r="A5" s="2" t="s">
        <v>3</v>
      </c>
    </row>
    <row r="6" customFormat="false" ht="15" hidden="false" customHeight="false" outlineLevel="0" collapsed="false">
      <c r="A6" s="2"/>
    </row>
    <row r="7" customFormat="false" ht="15" hidden="false" customHeight="false" outlineLevel="0" collapsed="false">
      <c r="A7" s="3" t="s">
        <v>4</v>
      </c>
    </row>
    <row r="8" customFormat="false" ht="15" hidden="false" customHeight="false" outlineLevel="0" collapsed="false">
      <c r="A8" s="2" t="s">
        <v>5</v>
      </c>
    </row>
    <row r="9" customFormat="false" ht="15" hidden="false" customHeight="false" outlineLevel="0" collapsed="false">
      <c r="A9" s="2" t="s">
        <v>6</v>
      </c>
    </row>
    <row r="10" customFormat="false" ht="15" hidden="false" customHeight="false" outlineLevel="0" collapsed="false">
      <c r="A10" s="2" t="s">
        <v>7</v>
      </c>
    </row>
    <row r="11" customFormat="false" ht="15" hidden="false" customHeight="false" outlineLevel="0" collapsed="false">
      <c r="A11" s="2" t="s">
        <v>8</v>
      </c>
    </row>
    <row r="12" customFormat="false" ht="15" hidden="false" customHeight="false" outlineLevel="0" collapsed="false">
      <c r="A12" s="2" t="s">
        <v>9</v>
      </c>
    </row>
    <row r="13" customFormat="false" ht="15" hidden="false" customHeight="false" outlineLevel="0" collapsed="false">
      <c r="A13" s="2" t="s">
        <v>10</v>
      </c>
    </row>
    <row r="14" customFormat="false" ht="15" hidden="false" customHeight="false" outlineLevel="0" collapsed="false">
      <c r="A14" s="2" t="s">
        <v>11</v>
      </c>
    </row>
    <row r="15" customFormat="false" ht="15" hidden="false" customHeight="false" outlineLevel="0" collapsed="false">
      <c r="A15" s="2" t="s">
        <v>12</v>
      </c>
    </row>
    <row r="16" customFormat="false" ht="15" hidden="false" customHeight="false" outlineLevel="0" collapsed="false">
      <c r="A16" s="2" t="s">
        <v>13</v>
      </c>
    </row>
    <row r="17" customFormat="false" ht="15" hidden="false" customHeight="false" outlineLevel="0" collapsed="false">
      <c r="A17" s="2"/>
    </row>
    <row r="18" customFormat="false" ht="15" hidden="false" customHeight="false" outlineLevel="0" collapsed="false">
      <c r="A18" s="3" t="s">
        <v>14</v>
      </c>
    </row>
    <row r="20" customFormat="false" ht="15" hidden="false" customHeight="false" outlineLevel="0" collapsed="false">
      <c r="A20" s="4" t="s">
        <v>15</v>
      </c>
      <c r="B20" s="4" t="s">
        <v>16</v>
      </c>
      <c r="C20" s="4" t="s">
        <v>17</v>
      </c>
      <c r="D20" s="4" t="s">
        <v>18</v>
      </c>
      <c r="E20" s="4" t="s">
        <v>19</v>
      </c>
      <c r="F20" s="4" t="s">
        <v>20</v>
      </c>
      <c r="G20" s="4" t="s">
        <v>21</v>
      </c>
      <c r="H20" s="4" t="s">
        <v>22</v>
      </c>
      <c r="I20" s="4" t="s">
        <v>23</v>
      </c>
      <c r="J20" s="4" t="s">
        <v>24</v>
      </c>
      <c r="K20" s="4" t="s">
        <v>25</v>
      </c>
      <c r="L20" s="4" t="s">
        <v>26</v>
      </c>
      <c r="M20" s="4" t="s">
        <v>27</v>
      </c>
      <c r="N20" s="4" t="s">
        <v>28</v>
      </c>
      <c r="O20" s="4" t="s">
        <v>29</v>
      </c>
    </row>
    <row r="21" customFormat="false" ht="15" hidden="false" customHeight="false" outlineLevel="0" collapsed="false">
      <c r="A21" s="5" t="s">
        <v>30</v>
      </c>
      <c r="B21" s="5" t="s">
        <v>31</v>
      </c>
      <c r="C21" s="5" t="s">
        <v>32</v>
      </c>
      <c r="D21" s="5" t="s">
        <v>33</v>
      </c>
      <c r="E21" s="5" t="s">
        <v>34</v>
      </c>
      <c r="F21" s="5" t="s">
        <v>35</v>
      </c>
      <c r="G21" s="5" t="s">
        <v>36</v>
      </c>
      <c r="H21" s="5" t="s">
        <v>37</v>
      </c>
      <c r="I21" s="5" t="s">
        <v>38</v>
      </c>
      <c r="J21" s="5" t="s">
        <v>39</v>
      </c>
      <c r="K21" s="5" t="s">
        <v>40</v>
      </c>
      <c r="L21" s="5" t="s">
        <v>41</v>
      </c>
      <c r="M21" s="5" t="s">
        <v>42</v>
      </c>
      <c r="N21" s="5" t="n">
        <v>4</v>
      </c>
      <c r="O21" s="5" t="s">
        <v>43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7" min="1" style="0" width="20"/>
    <col collapsed="false" customWidth="true" hidden="false" outlineLevel="0" max="8" min="8" style="0" width="34"/>
    <col collapsed="false" customWidth="true" hidden="false" outlineLevel="0" max="14" min="9" style="0" width="20"/>
    <col collapsed="false" customWidth="true" hidden="false" outlineLevel="0" max="15" min="15" style="0" width="34"/>
  </cols>
  <sheetData>
    <row r="1" customFormat="false" ht="15" hidden="false" customHeight="false" outlineLevel="0" collapsed="false">
      <c r="A1" s="6" t="s">
        <v>15</v>
      </c>
      <c r="B1" s="6" t="s">
        <v>16</v>
      </c>
      <c r="C1" s="6" t="s">
        <v>17</v>
      </c>
      <c r="D1" s="6" t="s">
        <v>18</v>
      </c>
      <c r="E1" s="6" t="s">
        <v>19</v>
      </c>
      <c r="F1" s="6" t="s">
        <v>20</v>
      </c>
      <c r="G1" s="6" t="s">
        <v>21</v>
      </c>
      <c r="H1" s="6" t="s">
        <v>22</v>
      </c>
      <c r="I1" s="6" t="s">
        <v>23</v>
      </c>
      <c r="J1" s="6" t="s">
        <v>24</v>
      </c>
      <c r="K1" s="6" t="s">
        <v>25</v>
      </c>
      <c r="L1" s="6" t="s">
        <v>26</v>
      </c>
      <c r="M1" s="6" t="s">
        <v>27</v>
      </c>
      <c r="N1" s="6" t="s">
        <v>28</v>
      </c>
      <c r="O1" s="6" t="s">
        <v>29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4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10"/>
    <col collapsed="false" customWidth="true" hidden="false" outlineLevel="0" max="3" min="3" style="0" width="4"/>
    <col collapsed="false" customWidth="true" hidden="false" outlineLevel="0" max="4" min="4" style="0" width="34"/>
    <col collapsed="false" customWidth="true" hidden="false" outlineLevel="0" max="5" min="5" style="0" width="10"/>
  </cols>
  <sheetData>
    <row r="1" customFormat="false" ht="17.35" hidden="false" customHeight="false" outlineLevel="0" collapsed="false">
      <c r="A1" s="1" t="s">
        <v>44</v>
      </c>
    </row>
    <row r="2" customFormat="false" ht="15" hidden="false" customHeight="false" outlineLevel="0" collapsed="false">
      <c r="A2" s="7" t="s">
        <v>45</v>
      </c>
    </row>
    <row r="4" customFormat="false" ht="17.35" hidden="false" customHeight="false" outlineLevel="0" collapsed="false">
      <c r="A4" s="3" t="s">
        <v>46</v>
      </c>
      <c r="B4" s="8" t="n">
        <f aca="false">COUNTA(Responses!A2:A1000)</f>
        <v>0</v>
      </c>
    </row>
    <row r="5" customFormat="false" ht="17.35" hidden="false" customHeight="false" outlineLevel="0" collapsed="false">
      <c r="A5" s="3" t="s">
        <v>47</v>
      </c>
      <c r="B5" s="9" t="n">
        <f aca="false">IFERROR(COUNTIF(Responses!L2:L1000,"Yes")/COUNTA(Responses!A2:A1000),0)</f>
        <v>0</v>
      </c>
    </row>
    <row r="6" customFormat="false" ht="17.35" hidden="false" customHeight="false" outlineLevel="0" collapsed="false">
      <c r="A6" s="3" t="s">
        <v>48</v>
      </c>
      <c r="B6" s="10" t="n">
        <f aca="false">IFERROR(AVERAGE(Responses!N2:N1000),0)</f>
        <v>0</v>
      </c>
    </row>
    <row r="8" customFormat="false" ht="15" hidden="false" customHeight="false" outlineLevel="0" collapsed="false">
      <c r="A8" s="3" t="s">
        <v>49</v>
      </c>
      <c r="D8" s="3" t="s">
        <v>50</v>
      </c>
    </row>
    <row r="9" customFormat="false" ht="15" hidden="false" customHeight="false" outlineLevel="0" collapsed="false">
      <c r="A9" s="2" t="s">
        <v>34</v>
      </c>
      <c r="B9" s="11" t="n">
        <f aca="false">COUNTIF(Responses!E2:E1000,A9)</f>
        <v>0</v>
      </c>
      <c r="D9" s="2" t="s">
        <v>51</v>
      </c>
      <c r="E9" s="11" t="n">
        <f aca="false">COUNTIF(Responses!H2:H1000,"*"&amp;D9&amp;"*")</f>
        <v>0</v>
      </c>
    </row>
    <row r="10" customFormat="false" ht="15" hidden="false" customHeight="false" outlineLevel="0" collapsed="false">
      <c r="A10" s="2" t="s">
        <v>52</v>
      </c>
      <c r="B10" s="11" t="n">
        <f aca="false">COUNTIF(Responses!E2:E1000,A10)</f>
        <v>0</v>
      </c>
      <c r="D10" s="2" t="s">
        <v>53</v>
      </c>
      <c r="E10" s="11" t="n">
        <f aca="false">COUNTIF(Responses!H2:H1000,"*"&amp;D10&amp;"*")</f>
        <v>0</v>
      </c>
    </row>
    <row r="11" customFormat="false" ht="15" hidden="false" customHeight="false" outlineLevel="0" collapsed="false">
      <c r="A11" s="2" t="s">
        <v>54</v>
      </c>
      <c r="B11" s="11" t="n">
        <f aca="false">COUNTIF(Responses!E2:E1000,A11)</f>
        <v>0</v>
      </c>
      <c r="D11" s="2" t="s">
        <v>55</v>
      </c>
      <c r="E11" s="11" t="n">
        <f aca="false">COUNTIF(Responses!H2:H1000,"*"&amp;D11&amp;"*")</f>
        <v>0</v>
      </c>
    </row>
    <row r="12" customFormat="false" ht="15" hidden="false" customHeight="false" outlineLevel="0" collapsed="false">
      <c r="A12" s="2" t="s">
        <v>56</v>
      </c>
      <c r="B12" s="11" t="n">
        <f aca="false">COUNTIF(Responses!E2:E1000,A12)</f>
        <v>0</v>
      </c>
      <c r="D12" s="2" t="s">
        <v>57</v>
      </c>
      <c r="E12" s="11" t="n">
        <f aca="false">COUNTIF(Responses!H2:H1000,"*"&amp;D12&amp;"*")</f>
        <v>0</v>
      </c>
    </row>
    <row r="13" customFormat="false" ht="15" hidden="false" customHeight="false" outlineLevel="0" collapsed="false">
      <c r="A13" s="2" t="s">
        <v>58</v>
      </c>
      <c r="B13" s="11" t="n">
        <f aca="false">COUNTIF(Responses!E2:E1000,A13)</f>
        <v>0</v>
      </c>
      <c r="D13" s="2" t="s">
        <v>59</v>
      </c>
      <c r="E13" s="11" t="n">
        <f aca="false">COUNTIF(Responses!H2:H1000,"*"&amp;D13&amp;"*")</f>
        <v>0</v>
      </c>
    </row>
    <row r="14" customFormat="false" ht="15" hidden="false" customHeight="false" outlineLevel="0" collapsed="false">
      <c r="A14" s="2" t="s">
        <v>60</v>
      </c>
      <c r="B14" s="11" t="n">
        <f aca="false">COUNTIF(Responses!E2:E1000,A14)</f>
        <v>0</v>
      </c>
      <c r="D14" s="2" t="s">
        <v>61</v>
      </c>
      <c r="E14" s="11" t="n">
        <f aca="false">COUNTIF(Responses!H2:H1000,"*"&amp;D14&amp;"*")</f>
        <v>0</v>
      </c>
    </row>
    <row r="16" customFormat="false" ht="15" hidden="false" customHeight="false" outlineLevel="0" collapsed="false">
      <c r="A16" s="3" t="s">
        <v>62</v>
      </c>
      <c r="D16" s="3" t="s">
        <v>63</v>
      </c>
    </row>
    <row r="17" customFormat="false" ht="15" hidden="false" customHeight="false" outlineLevel="0" collapsed="false">
      <c r="A17" s="2" t="s">
        <v>64</v>
      </c>
      <c r="B17" s="11" t="n">
        <f aca="false">COUNTIF(Responses!I2:I1000,A17)</f>
        <v>0</v>
      </c>
      <c r="D17" s="2" t="n">
        <v>1</v>
      </c>
      <c r="E17" s="11" t="n">
        <f aca="false">COUNTIF(Responses!N2:N1000,D17)</f>
        <v>0</v>
      </c>
    </row>
    <row r="18" customFormat="false" ht="15" hidden="false" customHeight="false" outlineLevel="0" collapsed="false">
      <c r="A18" s="2" t="s">
        <v>65</v>
      </c>
      <c r="B18" s="11" t="n">
        <f aca="false">COUNTIF(Responses!I2:I1000,A18)</f>
        <v>0</v>
      </c>
      <c r="D18" s="2" t="n">
        <v>2</v>
      </c>
      <c r="E18" s="11" t="n">
        <f aca="false">COUNTIF(Responses!N2:N1000,D18)</f>
        <v>0</v>
      </c>
    </row>
    <row r="19" customFormat="false" ht="15" hidden="false" customHeight="false" outlineLevel="0" collapsed="false">
      <c r="A19" s="2" t="s">
        <v>38</v>
      </c>
      <c r="B19" s="11" t="n">
        <f aca="false">COUNTIF(Responses!I2:I1000,A19)</f>
        <v>0</v>
      </c>
      <c r="D19" s="2" t="n">
        <v>3</v>
      </c>
      <c r="E19" s="11" t="n">
        <f aca="false">COUNTIF(Responses!N2:N1000,D19)</f>
        <v>0</v>
      </c>
    </row>
    <row r="20" customFormat="false" ht="15" hidden="false" customHeight="false" outlineLevel="0" collapsed="false">
      <c r="A20" s="2" t="s">
        <v>66</v>
      </c>
      <c r="B20" s="11" t="n">
        <f aca="false">COUNTIF(Responses!I2:I1000,A20)</f>
        <v>0</v>
      </c>
      <c r="D20" s="2" t="n">
        <v>4</v>
      </c>
      <c r="E20" s="11" t="n">
        <f aca="false">COUNTIF(Responses!N2:N1000,D20)</f>
        <v>0</v>
      </c>
    </row>
    <row r="21" customFormat="false" ht="15" hidden="false" customHeight="false" outlineLevel="0" collapsed="false">
      <c r="A21" s="2" t="s">
        <v>67</v>
      </c>
      <c r="B21" s="11" t="n">
        <f aca="false">COUNTIF(Responses!I2:I1000,A21)</f>
        <v>0</v>
      </c>
      <c r="D21" s="2" t="n">
        <v>5</v>
      </c>
      <c r="E21" s="11" t="n">
        <f aca="false">COUNTIF(Responses!N2:N1000,D21)</f>
        <v>0</v>
      </c>
    </row>
    <row r="23" customFormat="false" ht="15" hidden="false" customHeight="false" outlineLevel="0" collapsed="false">
      <c r="A23" s="3" t="s">
        <v>68</v>
      </c>
    </row>
    <row r="24" customFormat="false" ht="15" hidden="false" customHeight="false" outlineLevel="0" collapsed="false">
      <c r="A24" s="2" t="s">
        <v>69</v>
      </c>
      <c r="B24" s="11" t="n">
        <f aca="false">COUNTIF(Responses!J2:J1000,A24)</f>
        <v>0</v>
      </c>
    </row>
    <row r="25" customFormat="false" ht="15" hidden="false" customHeight="false" outlineLevel="0" collapsed="false">
      <c r="A25" s="2" t="s">
        <v>70</v>
      </c>
      <c r="B25" s="11" t="n">
        <f aca="false">COUNTIF(Responses!J2:J1000,A25)</f>
        <v>0</v>
      </c>
    </row>
    <row r="26" customFormat="false" ht="15" hidden="false" customHeight="false" outlineLevel="0" collapsed="false">
      <c r="A26" s="2" t="s">
        <v>71</v>
      </c>
      <c r="B26" s="11" t="n">
        <f aca="false">COUNTIF(Responses!J2:J1000,A26)</f>
        <v>0</v>
      </c>
    </row>
    <row r="27" customFormat="false" ht="15" hidden="false" customHeight="false" outlineLevel="0" collapsed="false">
      <c r="A27" s="2" t="s">
        <v>39</v>
      </c>
      <c r="B27" s="11" t="n">
        <f aca="false">COUNTIF(Responses!J2:J1000,A27)</f>
        <v>0</v>
      </c>
    </row>
    <row r="28" customFormat="false" ht="15" hidden="false" customHeight="false" outlineLevel="0" collapsed="false">
      <c r="A28" s="2" t="s">
        <v>72</v>
      </c>
      <c r="B28" s="11" t="n">
        <f aca="false">COUNTIF(Responses!J2:J1000,A28)</f>
        <v>0</v>
      </c>
    </row>
    <row r="30" customFormat="false" ht="15" hidden="false" customHeight="false" outlineLevel="0" collapsed="false">
      <c r="A30" s="3" t="s">
        <v>73</v>
      </c>
    </row>
    <row r="31" customFormat="false" ht="15" hidden="false" customHeight="false" outlineLevel="0" collapsed="false">
      <c r="A31" s="2" t="s">
        <v>74</v>
      </c>
      <c r="B31" s="11" t="n">
        <f aca="false">COUNTIF(Responses!K2:K1000,A31)</f>
        <v>0</v>
      </c>
    </row>
    <row r="32" customFormat="false" ht="15" hidden="false" customHeight="false" outlineLevel="0" collapsed="false">
      <c r="A32" s="2" t="s">
        <v>75</v>
      </c>
      <c r="B32" s="11" t="n">
        <f aca="false">COUNTIF(Responses!K2:K1000,A32)</f>
        <v>0</v>
      </c>
    </row>
    <row r="33" customFormat="false" ht="15" hidden="false" customHeight="false" outlineLevel="0" collapsed="false">
      <c r="A33" s="2" t="s">
        <v>40</v>
      </c>
      <c r="B33" s="11" t="n">
        <f aca="false">COUNTIF(Responses!K2:K1000,A33)</f>
        <v>0</v>
      </c>
    </row>
    <row r="34" customFormat="false" ht="15" hidden="false" customHeight="false" outlineLevel="0" collapsed="false">
      <c r="A34" s="2" t="s">
        <v>76</v>
      </c>
      <c r="B34" s="11" t="n">
        <f aca="false">COUNTIF(Responses!K2:K1000,A34)</f>
        <v>0</v>
      </c>
    </row>
    <row r="35" customFormat="false" ht="15" hidden="false" customHeight="false" outlineLevel="0" collapsed="false">
      <c r="A35" s="2" t="s">
        <v>77</v>
      </c>
      <c r="B35" s="11" t="n">
        <f aca="false">COUNTIF(Responses!K2:K1000,A35)</f>
        <v>0</v>
      </c>
    </row>
    <row r="37" customFormat="false" ht="15" hidden="false" customHeight="false" outlineLevel="0" collapsed="false">
      <c r="A37" s="3" t="s">
        <v>78</v>
      </c>
    </row>
    <row r="38" customFormat="false" ht="15" hidden="false" customHeight="false" outlineLevel="0" collapsed="false">
      <c r="A38" s="2" t="s">
        <v>41</v>
      </c>
      <c r="B38" s="11" t="n">
        <f aca="false">COUNTIF(Responses!L2:L1000,A38)</f>
        <v>0</v>
      </c>
    </row>
    <row r="39" customFormat="false" ht="15" hidden="false" customHeight="false" outlineLevel="0" collapsed="false">
      <c r="A39" s="2" t="s">
        <v>79</v>
      </c>
      <c r="B39" s="11" t="n">
        <f aca="false">COUNTIF(Responses!L2:L1000,A39)</f>
        <v>0</v>
      </c>
    </row>
    <row r="40" customFormat="false" ht="15" hidden="false" customHeight="false" outlineLevel="0" collapsed="false">
      <c r="A40" s="2" t="s">
        <v>80</v>
      </c>
      <c r="B40" s="11" t="n">
        <f aca="false">COUNTIF(Responses!L2:L1000,A40)</f>
        <v>0</v>
      </c>
    </row>
    <row r="42" customFormat="false" ht="15" hidden="false" customHeight="false" outlineLevel="0" collapsed="false">
      <c r="A42" s="3" t="s">
        <v>81</v>
      </c>
    </row>
    <row r="43" customFormat="false" ht="15" hidden="false" customHeight="false" outlineLevel="0" collapsed="false">
      <c r="A43" s="2" t="s">
        <v>42</v>
      </c>
      <c r="B43" s="11" t="n">
        <f aca="false">COUNTIF(Responses!M2:M1000,A43)</f>
        <v>0</v>
      </c>
    </row>
    <row r="44" customFormat="false" ht="15" hidden="false" customHeight="false" outlineLevel="0" collapsed="false">
      <c r="A44" s="2" t="s">
        <v>82</v>
      </c>
      <c r="B44" s="11" t="n">
        <f aca="false">COUNTIF(Responses!M2:M1000,A44)</f>
        <v>0</v>
      </c>
    </row>
    <row r="45" customFormat="false" ht="15" hidden="false" customHeight="false" outlineLevel="0" collapsed="false">
      <c r="A45" s="2" t="s">
        <v>83</v>
      </c>
      <c r="B45" s="11" t="n">
        <f aca="false">COUNTIF(Responses!M2:M1000,A45)</f>
        <v>0</v>
      </c>
    </row>
    <row r="46" customFormat="false" ht="15" hidden="false" customHeight="false" outlineLevel="0" collapsed="false">
      <c r="A46" s="2" t="s">
        <v>84</v>
      </c>
      <c r="B46" s="11" t="n">
        <f aca="false">COUNTIF(Responses!M2:M1000,A46)</f>
        <v>0</v>
      </c>
    </row>
    <row r="47" customFormat="false" ht="15" hidden="false" customHeight="false" outlineLevel="0" collapsed="false">
      <c r="A47" s="2" t="s">
        <v>85</v>
      </c>
      <c r="B47" s="11" t="n">
        <f aca="false">COUNTIF(Responses!M2:M1000,A47)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2026-08-12T09:37:05Z</dcterms:created>
  <dc:creator>openpyxl</dc:creator>
  <dc:description/>
  <dc:language>en-US</dc:language>
  <cp:lastModifiedBy/>
  <dcterms:modified xsi:type="dcterms:W3CDTF">2026-08-12T09:37:05Z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